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e8e79a78e1a686/TEACHING/Recommender Systems/Practical parts/SS2026/"/>
    </mc:Choice>
  </mc:AlternateContent>
  <xr:revisionPtr revIDLastSave="9" documentId="8_{84BA4A1C-72F3-7B42-A5E5-608E4648656F}" xr6:coauthVersionLast="47" xr6:coauthVersionMax="47" xr10:uidLastSave="{10D1D8DB-D43C-134E-8196-E414F22EA7CF}"/>
  <bookViews>
    <workbookView xWindow="780" yWindow="1100" windowWidth="27640" windowHeight="15640" xr2:uid="{AD1F5DC0-6A9C-B440-97FC-BEBDBEE588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2" i="1"/>
  <c r="B7" i="1"/>
  <c r="B8" i="1"/>
  <c r="B14" i="1"/>
  <c r="B10" i="1"/>
  <c r="B15" i="1"/>
  <c r="B5" i="1"/>
  <c r="B6" i="1" s="1"/>
  <c r="B13" i="1" s="1"/>
</calcChain>
</file>

<file path=xl/sharedStrings.xml><?xml version="1.0" encoding="utf-8"?>
<sst xmlns="http://schemas.openxmlformats.org/spreadsheetml/2006/main" count="20" uniqueCount="20">
  <si>
    <t>Document d and terms A, B, and C, with term frequencies as follows: TF(A, d) = 3, TF(B, d) = 2, TF(C, d) = 1. Assume document d belongs to a collection of 1000 documents. The document frequencies of the mentioned terms are the following: DF(A) = 80, DF(B) = 250, and Df(C) = 25.
Which term has the highest TF-IDF weight in document d?</t>
  </si>
  <si>
    <t>TF(A,d)</t>
  </si>
  <si>
    <t>DF(A)</t>
  </si>
  <si>
    <t>TD(B,d)</t>
  </si>
  <si>
    <t>DF(B)</t>
  </si>
  <si>
    <t>TD(C,d)</t>
  </si>
  <si>
    <t>DF(C)</t>
  </si>
  <si>
    <t>TF_{max}</t>
  </si>
  <si>
    <t>TF_normalized(A,d)</t>
  </si>
  <si>
    <t>TF_normalized(B,d)</t>
  </si>
  <si>
    <t>TF_normalized(C,d)</t>
  </si>
  <si>
    <t>Number of documents in the collection (N)</t>
  </si>
  <si>
    <t>IDF(A)</t>
  </si>
  <si>
    <t>IDF(B)</t>
  </si>
  <si>
    <t>IDF(C)</t>
  </si>
  <si>
    <t>TF-IDF(A)</t>
  </si>
  <si>
    <t>TF-IDF(B)</t>
  </si>
  <si>
    <t>TF-IDF(C)</t>
  </si>
  <si>
    <r>
      <t>d = (</t>
    </r>
    <r>
      <rPr>
        <b/>
        <sz val="12"/>
        <color theme="1"/>
        <rFont val="Aptos Narrow"/>
        <scheme val="minor"/>
      </rPr>
      <t>1,097</t>
    </r>
    <r>
      <rPr>
        <sz val="12"/>
        <color theme="1"/>
        <rFont val="Aptos Narrow"/>
        <family val="2"/>
        <scheme val="minor"/>
      </rPr>
      <t>; 0,401; 0,566)</t>
    </r>
  </si>
  <si>
    <t>term A has the highest TF-IDF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</si>
</sst>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1" xfId="0" applyBorder="1"/>
    <xf numFmtId="0" fontId="0" fillId="2" borderId="0" xfId="0" applyFill="1" applyAlignment="1">
      <alignment horizontal="right"/>
    </xf>
    <xf numFmtId="0" fontId="1" fillId="0" borderId="0" xfId="0" applyFont="1"/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CF13-1A9C-A741-8689-92850FD97490}">
  <dimension ref="A1:I16"/>
  <sheetViews>
    <sheetView tabSelected="1" zoomScale="138" workbookViewId="0">
      <selection activeCell="F14" sqref="F14"/>
    </sheetView>
  </sheetViews>
  <sheetFormatPr baseColWidth="10" defaultRowHeight="16" x14ac:dyDescent="0.2"/>
  <cols>
    <col min="1" max="1" width="35.83203125" bestFit="1" customWidth="1"/>
  </cols>
  <sheetData>
    <row r="1" spans="1:9" ht="68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2" t="s">
        <v>1</v>
      </c>
      <c r="B2" s="2">
        <v>3</v>
      </c>
      <c r="D2" s="2" t="s">
        <v>2</v>
      </c>
      <c r="E2" s="2">
        <v>80</v>
      </c>
    </row>
    <row r="3" spans="1:9" x14ac:dyDescent="0.2">
      <c r="A3" s="2" t="s">
        <v>3</v>
      </c>
      <c r="B3" s="2">
        <v>2</v>
      </c>
      <c r="D3" s="2" t="s">
        <v>4</v>
      </c>
      <c r="E3" s="2">
        <v>250</v>
      </c>
    </row>
    <row r="4" spans="1:9" x14ac:dyDescent="0.2">
      <c r="A4" s="2" t="s">
        <v>5</v>
      </c>
      <c r="B4" s="2">
        <v>1</v>
      </c>
      <c r="D4" s="2" t="s">
        <v>6</v>
      </c>
      <c r="E4" s="2">
        <v>20</v>
      </c>
    </row>
    <row r="5" spans="1:9" x14ac:dyDescent="0.2">
      <c r="A5" s="5" t="s">
        <v>7</v>
      </c>
      <c r="B5" s="5">
        <f>MAX(B2:B4)</f>
        <v>3</v>
      </c>
    </row>
    <row r="6" spans="1:9" x14ac:dyDescent="0.2">
      <c r="A6" t="s">
        <v>8</v>
      </c>
      <c r="B6">
        <f>B2/$B$5</f>
        <v>1</v>
      </c>
    </row>
    <row r="7" spans="1:9" x14ac:dyDescent="0.2">
      <c r="A7" t="s">
        <v>9</v>
      </c>
      <c r="B7">
        <f t="shared" ref="B7:B8" si="0">B3/$B$5</f>
        <v>0.66666666666666663</v>
      </c>
    </row>
    <row r="8" spans="1:9" x14ac:dyDescent="0.2">
      <c r="A8" t="s">
        <v>10</v>
      </c>
      <c r="B8">
        <f t="shared" si="0"/>
        <v>0.33333333333333331</v>
      </c>
    </row>
    <row r="9" spans="1:9" x14ac:dyDescent="0.2">
      <c r="A9" t="s">
        <v>11</v>
      </c>
      <c r="B9">
        <v>1000</v>
      </c>
    </row>
    <row r="10" spans="1:9" x14ac:dyDescent="0.2">
      <c r="A10" t="s">
        <v>12</v>
      </c>
      <c r="B10">
        <f>LOG10($B$9/E2)</f>
        <v>1.0969100130080565</v>
      </c>
    </row>
    <row r="11" spans="1:9" x14ac:dyDescent="0.2">
      <c r="A11" t="s">
        <v>13</v>
      </c>
      <c r="B11">
        <f t="shared" ref="B11:B12" si="1">LOG10($B$9/E3)</f>
        <v>0.6020599913279624</v>
      </c>
    </row>
    <row r="12" spans="1:9" x14ac:dyDescent="0.2">
      <c r="A12" t="s">
        <v>14</v>
      </c>
      <c r="B12">
        <f t="shared" si="1"/>
        <v>1.6989700043360187</v>
      </c>
    </row>
    <row r="13" spans="1:9" x14ac:dyDescent="0.2">
      <c r="A13" s="5" t="s">
        <v>15</v>
      </c>
      <c r="B13" s="6">
        <f>B6*B10</f>
        <v>1.0969100130080565</v>
      </c>
    </row>
    <row r="14" spans="1:9" x14ac:dyDescent="0.2">
      <c r="A14" t="s">
        <v>16</v>
      </c>
      <c r="B14">
        <f>B7*B11</f>
        <v>0.40137332755197491</v>
      </c>
    </row>
    <row r="15" spans="1:9" x14ac:dyDescent="0.2">
      <c r="A15" t="s">
        <v>17</v>
      </c>
      <c r="B15">
        <f>B8*B12</f>
        <v>0.56632333477867292</v>
      </c>
    </row>
    <row r="16" spans="1:9" x14ac:dyDescent="0.2">
      <c r="A16" s="3" t="s">
        <v>18</v>
      </c>
      <c r="B16" s="4" t="s">
        <v>19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Tran</dc:creator>
  <cp:lastModifiedBy>Trang Tran</cp:lastModifiedBy>
  <dcterms:created xsi:type="dcterms:W3CDTF">2026-05-22T18:21:29Z</dcterms:created>
  <dcterms:modified xsi:type="dcterms:W3CDTF">2026-05-22T18:28:24Z</dcterms:modified>
</cp:coreProperties>
</file>